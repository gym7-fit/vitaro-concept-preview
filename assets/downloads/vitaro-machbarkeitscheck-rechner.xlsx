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barkeits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#,##0 €"/>
    <numFmt numFmtId="167" formatCode="#,##0 €;-#,##0 €"/>
  </numFmts>
  <fonts count="9">
    <font>
      <name val="Calibri"/>
      <family val="2"/>
      <color theme="1"/>
      <sz val="11"/>
      <scheme val="minor"/>
    </font>
    <font>
      <name val="Georgia"/>
      <b val="1"/>
      <color rgb="00A68A73"/>
      <sz val="12"/>
    </font>
    <font>
      <name val="Georgia"/>
      <b val="1"/>
      <color rgb="001B1712"/>
      <sz val="18"/>
    </font>
    <font>
      <name val="Calibri"/>
      <i val="1"/>
      <color rgb="006E6357"/>
      <sz val="9"/>
    </font>
    <font>
      <name val="Georgia"/>
      <b val="1"/>
      <color rgb="005C4A3A"/>
      <sz val="13"/>
    </font>
    <font>
      <name val="Calibri"/>
      <color rgb="006E6357"/>
      <sz val="11"/>
    </font>
    <font>
      <name val="Calibri"/>
      <b val="1"/>
      <color rgb="001B1712"/>
      <sz val="11"/>
    </font>
    <font>
      <name val="Calibri"/>
      <b val="1"/>
      <color rgb="001B1712"/>
      <sz val="13"/>
    </font>
    <font>
      <name val="Georgia"/>
      <b val="1"/>
      <color rgb="005C4A3A"/>
      <sz val="16"/>
    </font>
  </fonts>
  <fills count="4">
    <fill>
      <patternFill/>
    </fill>
    <fill>
      <patternFill patternType="gray125"/>
    </fill>
    <fill>
      <patternFill patternType="solid">
        <fgColor rgb="00F7F1E6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9CFBF"/>
      </left>
      <right style="thin">
        <color rgb="00D9CFBF"/>
      </right>
      <top style="thin">
        <color rgb="00D9CFBF"/>
      </top>
      <bottom style="thin">
        <color rgb="00D9C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/>
    </xf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right"/>
    </xf>
    <xf numFmtId="9" fontId="6" fillId="3" borderId="1" applyAlignment="1" pivotButton="0" quotePrefix="0" xfId="0">
      <alignment horizontal="right"/>
    </xf>
    <xf numFmtId="164" fontId="6" fillId="3" borderId="1" applyAlignment="1" pivotButton="0" quotePrefix="0" xfId="0">
      <alignment horizontal="right"/>
    </xf>
    <xf numFmtId="165" fontId="6" fillId="3" borderId="1" applyAlignment="1" pivotButton="0" quotePrefix="0" xfId="0">
      <alignment horizontal="right"/>
    </xf>
    <xf numFmtId="166" fontId="6" fillId="3" borderId="1" applyAlignment="1" pivotButton="0" quotePrefix="0" xfId="0">
      <alignment horizontal="right"/>
    </xf>
    <xf numFmtId="0" fontId="6" fillId="3" borderId="1" pivotButton="0" quotePrefix="0" xfId="0"/>
    <xf numFmtId="1" fontId="7" fillId="2" borderId="0" applyAlignment="1" pivotButton="0" quotePrefix="0" xfId="0">
      <alignment horizontal="right"/>
    </xf>
    <xf numFmtId="166" fontId="7" fillId="2" borderId="0" applyAlignment="1" pivotButton="0" quotePrefix="0" xfId="0">
      <alignment horizontal="right"/>
    </xf>
    <xf numFmtId="0" fontId="8" fillId="2" borderId="0" applyAlignment="1" pivotButton="0" quotePrefix="0" xfId="0">
      <alignment wrapText="1"/>
    </xf>
    <xf numFmtId="167" fontId="8" fillId="2" borderId="0" applyAlignment="1" pivotButton="0" quotePrefix="0" xfId="0">
      <alignment horizontal="right"/>
    </xf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46" customWidth="1" min="4" max="4"/>
    <col width="3" customWidth="1" min="5" max="5"/>
  </cols>
  <sheetData>
    <row r="1">
      <c r="A1" s="1" t="n"/>
      <c r="B1" s="1" t="n"/>
      <c r="C1" s="1" t="n"/>
      <c r="D1" s="1" t="n"/>
      <c r="E1" s="1" t="n"/>
    </row>
    <row r="2">
      <c r="A2" s="1" t="n"/>
      <c r="B2" s="2" t="inlineStr">
        <is>
          <t>VITARO</t>
        </is>
      </c>
      <c r="C2" s="1" t="n"/>
      <c r="D2" s="1" t="n"/>
      <c r="E2" s="1" t="n"/>
    </row>
    <row r="3">
      <c r="A3" s="1" t="n"/>
      <c r="B3" s="3" t="inlineStr">
        <is>
          <t>Machbarkeitscheck — Wirtschaftlichkeitsrechner (indikativ)</t>
        </is>
      </c>
      <c r="C3" s="1" t="n"/>
      <c r="D3" s="1" t="n"/>
      <c r="E3" s="1" t="n"/>
    </row>
    <row r="4">
      <c r="A4" s="1" t="n"/>
      <c r="B4" s="4" t="inlineStr">
        <is>
          <t>Backup-Version der Berechnung aus dem internen Planer. Gelb hinterlegte Felder sind Eingaben, alles andere ist Formel.</t>
        </is>
      </c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5" t="inlineStr">
        <is>
          <t>Angaben zum Haus</t>
        </is>
      </c>
      <c r="C6" s="1" t="n"/>
      <c r="D6" s="1" t="n"/>
      <c r="E6" s="1" t="n"/>
    </row>
    <row r="7">
      <c r="A7" s="1" t="n"/>
      <c r="B7" s="6" t="inlineStr">
        <is>
          <t>Zimmer gesamt</t>
        </is>
      </c>
      <c r="C7" s="7" t="n">
        <v>120</v>
      </c>
      <c r="D7" s="1" t="n"/>
      <c r="E7" s="1" t="n"/>
    </row>
    <row r="8">
      <c r="A8" s="1" t="n"/>
      <c r="B8" s="6" t="inlineStr">
        <is>
          <t>Auslastung (%)</t>
        </is>
      </c>
      <c r="C8" s="8" t="n">
        <v>0.75</v>
      </c>
      <c r="D8" s="1" t="n"/>
      <c r="E8" s="1" t="n"/>
    </row>
    <row r="9">
      <c r="A9" s="1" t="n"/>
      <c r="B9" s="6" t="inlineStr">
        <is>
          <t>Ø Gäste pro belegtem Zimmer</t>
        </is>
      </c>
      <c r="C9" s="9" t="n">
        <v>1.8</v>
      </c>
      <c r="D9" s="1" t="n"/>
      <c r="E9" s="1" t="n"/>
    </row>
    <row r="10">
      <c r="A10" s="1" t="n"/>
      <c r="B10" s="6" t="inlineStr">
        <is>
          <t>Ø Aufenthaltsdauer (Nächte)</t>
        </is>
      </c>
      <c r="C10" s="7" t="n">
        <v>7</v>
      </c>
      <c r="D10" s="1" t="n"/>
      <c r="E10" s="1" t="n"/>
    </row>
    <row r="11">
      <c r="A11" s="1" t="n"/>
      <c r="B11" s="1" t="n"/>
      <c r="C11" s="1" t="n"/>
      <c r="D11" s="1" t="n"/>
      <c r="E11" s="1" t="n"/>
    </row>
    <row r="12">
      <c r="A12" s="1" t="n"/>
      <c r="B12" s="5" t="inlineStr">
        <is>
          <t>Nutzung des Studios</t>
        </is>
      </c>
      <c r="C12" s="1" t="n"/>
      <c r="D12" s="1" t="n"/>
      <c r="E12" s="1" t="n"/>
    </row>
    <row r="13">
      <c r="A13" s="1" t="n"/>
      <c r="B13" s="6" t="inlineStr">
        <is>
          <t>Buchungsquote (%)</t>
        </is>
      </c>
      <c r="C13" s="10" t="n">
        <v>0.08</v>
      </c>
      <c r="D13" s="1" t="n"/>
      <c r="E13" s="1" t="n"/>
    </row>
    <row r="14">
      <c r="A14" s="1" t="n"/>
      <c r="B14" s="6" t="inlineStr">
        <is>
          <t>Ø Sessions je buchendem Gast</t>
        </is>
      </c>
      <c r="C14" s="9" t="n">
        <v>3</v>
      </c>
      <c r="D14" s="1" t="n"/>
      <c r="E14" s="1" t="n"/>
    </row>
    <row r="15">
      <c r="A15" s="1" t="n"/>
      <c r="B15" s="6" t="inlineStr">
        <is>
          <t>Ø Preis je Session/Paket-Einheit (€)</t>
        </is>
      </c>
      <c r="C15" s="11" t="n">
        <v>25</v>
      </c>
      <c r="D15" s="1" t="n"/>
      <c r="E15" s="1" t="n"/>
    </row>
    <row r="16">
      <c r="A16" s="1" t="n"/>
      <c r="B16" s="1" t="n"/>
      <c r="C16" s="1" t="n"/>
      <c r="D16" s="1" t="n"/>
      <c r="E16" s="1" t="n"/>
    </row>
    <row r="17">
      <c r="A17" s="1" t="n"/>
      <c r="B17" s="5" t="inlineStr">
        <is>
          <t>Partnerschaftsmodell</t>
        </is>
      </c>
      <c r="C17" s="1" t="n"/>
      <c r="D17" s="1" t="n"/>
      <c r="E17" s="1" t="n"/>
    </row>
    <row r="18">
      <c r="A18" s="1" t="n"/>
      <c r="B18" s="6" t="inlineStr">
        <is>
          <t>Modell auswählen</t>
        </is>
      </c>
      <c r="C18" s="12" t="inlineStr">
        <is>
          <t>Full-Service-Leasing</t>
        </is>
      </c>
      <c r="D18" s="1" t="n"/>
      <c r="E18" s="1" t="n"/>
    </row>
    <row r="19">
      <c r="A19" s="1" t="n"/>
      <c r="B19" s="6" t="inlineStr">
        <is>
          <t>Monatliche Grundgebühr (€) — Leasing/Hybrid</t>
        </is>
      </c>
      <c r="C19" s="11" t="n">
        <v>2500</v>
      </c>
      <c r="D19" s="1" t="n"/>
      <c r="E19" s="1" t="n"/>
    </row>
    <row r="20">
      <c r="A20" s="1" t="n"/>
      <c r="B20" s="6" t="inlineStr">
        <is>
          <t>Umsatzanteil Hotel (%) — Umsatzbeteiligung/Hybrid</t>
        </is>
      </c>
      <c r="C20" s="8" t="n">
        <v>0.2</v>
      </c>
      <c r="D20" s="1" t="n"/>
      <c r="E20" s="1" t="n"/>
    </row>
    <row r="21">
      <c r="A21" s="1" t="n"/>
      <c r="B21" s="1" t="n"/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5" t="inlineStr">
        <is>
          <t>Ergebnis (indikativ)</t>
        </is>
      </c>
      <c r="C23" s="1" t="n"/>
      <c r="D23" s="1" t="n"/>
      <c r="E23" s="1" t="n"/>
    </row>
    <row r="24">
      <c r="A24" s="1" t="n"/>
      <c r="B24" s="6" t="inlineStr">
        <is>
          <t>Gäste im Haus pro Tag</t>
        </is>
      </c>
      <c r="C24" s="13">
        <f>C7*C8*C9</f>
        <v/>
      </c>
      <c r="D24" s="4" t="inlineStr">
        <is>
          <t>Zimmer × Auslastung × Ø Gäste/Zimmer</t>
        </is>
      </c>
      <c r="E24" s="1" t="n"/>
    </row>
    <row r="25">
      <c r="A25" s="1" t="n"/>
      <c r="B25" s="6" t="inlineStr">
        <is>
          <t>Gästeankünfte pro Monat</t>
        </is>
      </c>
      <c r="C25" s="13">
        <f>(C24*30)/C10</f>
        <v/>
      </c>
      <c r="D25" s="4" t="inlineStr">
        <is>
          <t>Gäste im Haus × 30 ÷ Aufenthaltsdauer</t>
        </is>
      </c>
      <c r="E25" s="1" t="n"/>
    </row>
    <row r="26">
      <c r="A26" s="1" t="n"/>
      <c r="B26" s="6" t="inlineStr">
        <is>
          <t>Buchende Gäste pro Monat</t>
        </is>
      </c>
      <c r="C26" s="13">
        <f>C25*C13</f>
        <v/>
      </c>
      <c r="D26" s="4" t="inlineStr">
        <is>
          <t>Ankünfte × Buchungsquote</t>
        </is>
      </c>
      <c r="E26" s="1" t="n"/>
    </row>
    <row r="27">
      <c r="A27" s="1" t="n"/>
      <c r="B27" s="6" t="inlineStr">
        <is>
          <t>Sessions pro Monat</t>
        </is>
      </c>
      <c r="C27" s="13">
        <f>C26*C14</f>
        <v/>
      </c>
      <c r="D27" s="4" t="inlineStr">
        <is>
          <t>Buchende Gäste × Ø Sessions</t>
        </is>
      </c>
      <c r="E27" s="1" t="n"/>
    </row>
    <row r="28">
      <c r="A28" s="1" t="n"/>
      <c r="B28" s="6" t="inlineStr">
        <is>
          <t>Studioumsatz pro Monat</t>
        </is>
      </c>
      <c r="C28" s="14">
        <f>C27*C15</f>
        <v/>
      </c>
      <c r="D28" s="4" t="inlineStr">
        <is>
          <t>Sessions × Ø Preis</t>
        </is>
      </c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5">
        <f>IF(C18="Full-Service-Leasing","Kosten für das Hotel (fest)",IF(C18="Umsatzbeteiligung","Ertrag für das Hotel (Umsatzanteil)","Netto für das Hotel (Anteil − Grundgebühr)"))</f>
        <v/>
      </c>
      <c r="C30" s="16">
        <f>IF(C18="Full-Service-Leasing",C19,IF(C18="Umsatzbeteiligung",C28*C20,C28*C20-C19))</f>
        <v/>
      </c>
      <c r="D30" s="1" t="n"/>
      <c r="E30" s="1" t="n"/>
    </row>
    <row r="31" ht="30" customHeight="1">
      <c r="A31" s="1" t="n"/>
      <c r="B31" s="17" t="inlineStr">
        <is>
          <t>Full-Service-Leasing: kein Umsatzanteil fürs Hotel, dafür planbare feste Kosten. Umsatzbeteiligung: keine Vorabkosten, Hotel erhält den gewählten Prozentsatz. Hybrid: reduzierte Grundgebühr plus kleinerer Anteil, Netto kann negativ sein.</t>
        </is>
      </c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7" t="inlineStr">
        <is>
          <t>Alle Werte sind Annahmen zur Veranschaulichung der Methode. Die verbindliche Zahl steht im schriftlichen Angebot nach der Standortanalyse.</t>
        </is>
      </c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</row>
  </sheetData>
  <mergeCells count="1">
    <mergeCell ref="B30"/>
  </mergeCells>
  <dataValidations count="1">
    <dataValidation sqref="C18" showDropDown="0" showInputMessage="0" showErrorMessage="0" allowBlank="0" type="list">
      <formula1>"Full-Service-Leasing,Umsatzbeteiligung,Hybridmodell"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2026-09-07T21:30:24Z</dcterms:created>
  <dcterms:modified xsi:type="dcterms:W3CDTF">2026-09-07T21:30:24Z</dcterms:modified>
</cp:coreProperties>
</file>